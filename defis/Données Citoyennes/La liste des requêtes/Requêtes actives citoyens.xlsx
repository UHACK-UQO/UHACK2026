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zen Requests" sheetId="1" r:id="rId5"/>
  </sheets>
  <definedNames/>
  <calcPr/>
</workbook>
</file>

<file path=xl/sharedStrings.xml><?xml version="1.0" encoding="utf-8"?>
<sst xmlns="http://schemas.openxmlformats.org/spreadsheetml/2006/main" count="329" uniqueCount="210">
  <si>
    <t>Citizen Assistance Registry — Crisis Operations</t>
  </si>
  <si>
    <t>Export prepared for communications review | Synthetic exercise data</t>
  </si>
  <si>
    <t>Records</t>
  </si>
  <si>
    <t>Request ID</t>
  </si>
  <si>
    <t>Last Name</t>
  </si>
  <si>
    <t>First Name</t>
  </si>
  <si>
    <t>Phone</t>
  </si>
  <si>
    <t>Postal Code</t>
  </si>
  <si>
    <t>Sector</t>
  </si>
  <si>
    <t>Request Type</t>
  </si>
  <si>
    <t>Priority</t>
  </si>
  <si>
    <t>Status</t>
  </si>
  <si>
    <t>Last Updated</t>
  </si>
  <si>
    <t>QC Score</t>
  </si>
  <si>
    <t>CR-2026001</t>
  </si>
  <si>
    <t>Martin</t>
  </si>
  <si>
    <t>Émilie</t>
  </si>
  <si>
    <t>819-555-1000</t>
  </si>
  <si>
    <t>J86 B5S</t>
  </si>
  <si>
    <t>Gatineau</t>
  </si>
  <si>
    <t>Waste collection</t>
  </si>
  <si>
    <t>Normal</t>
  </si>
  <si>
    <t>Open</t>
  </si>
  <si>
    <t>CR-2026002</t>
  </si>
  <si>
    <t>Dubois</t>
  </si>
  <si>
    <t>Noah</t>
  </si>
  <si>
    <t>819-555-1001</t>
  </si>
  <si>
    <t>J81 Y6R</t>
  </si>
  <si>
    <t>Masson-Angers</t>
  </si>
  <si>
    <t>Power outage</t>
  </si>
  <si>
    <t>In progress</t>
  </si>
  <si>
    <t>CR-2026003</t>
  </si>
  <si>
    <t>Bouchard</t>
  </si>
  <si>
    <t>Maya</t>
  </si>
  <si>
    <t>819-555-1002</t>
  </si>
  <si>
    <t>J85 W4Y</t>
  </si>
  <si>
    <t>Hull</t>
  </si>
  <si>
    <t>Public alert clarification</t>
  </si>
  <si>
    <t>Assigned</t>
  </si>
  <si>
    <t>CR-2026004</t>
  </si>
  <si>
    <t>Lucas</t>
  </si>
  <si>
    <t>819-555-1003</t>
  </si>
  <si>
    <t>J84 R8P</t>
  </si>
  <si>
    <t>Buckingham</t>
  </si>
  <si>
    <t>High</t>
  </si>
  <si>
    <t>Escalated</t>
  </si>
  <si>
    <t>CR-2026005</t>
  </si>
  <si>
    <t>Caron</t>
  </si>
  <si>
    <t>Sofia</t>
  </si>
  <si>
    <t>819-555-1004</t>
  </si>
  <si>
    <t>J88 N8W</t>
  </si>
  <si>
    <t>Emergency shelter</t>
  </si>
  <si>
    <t>CR-2026006</t>
  </si>
  <si>
    <t>Pelletier</t>
  </si>
  <si>
    <t>Olivier</t>
  </si>
  <si>
    <t>819-555-1005</t>
  </si>
  <si>
    <t>J84 S0M</t>
  </si>
  <si>
    <t>Pending citizen</t>
  </si>
  <si>
    <t>CR-2026007</t>
  </si>
  <si>
    <t>Nguyen</t>
  </si>
  <si>
    <t>Amélie</t>
  </si>
  <si>
    <t>819-555-1006</t>
  </si>
  <si>
    <t>J83 L2X</t>
  </si>
  <si>
    <t>Internet / connectivity</t>
  </si>
  <si>
    <t>Critical</t>
  </si>
  <si>
    <t>CR-2026008</t>
  </si>
  <si>
    <t>Gauthier</t>
  </si>
  <si>
    <t>Nathan</t>
  </si>
  <si>
    <t>819-555-1007</t>
  </si>
  <si>
    <t>J89 M8M</t>
  </si>
  <si>
    <t>Aylmer</t>
  </si>
  <si>
    <t>Water service</t>
  </si>
  <si>
    <t>CR-2026009</t>
  </si>
  <si>
    <t>Morin</t>
  </si>
  <si>
    <t>Chloé</t>
  </si>
  <si>
    <t>819-555-1008</t>
  </si>
  <si>
    <t>J86 J8Y</t>
  </si>
  <si>
    <t>Road obstruction</t>
  </si>
  <si>
    <t>CR-2026010</t>
  </si>
  <si>
    <t>Beaulieu</t>
  </si>
  <si>
    <t>Adam</t>
  </si>
  <si>
    <t>819-555-1009</t>
  </si>
  <si>
    <t>J86 N6H</t>
  </si>
  <si>
    <t>Information request</t>
  </si>
  <si>
    <t>CR-2026011</t>
  </si>
  <si>
    <t>Lavoie</t>
  </si>
  <si>
    <t>Camille</t>
  </si>
  <si>
    <t>819-555-1010</t>
  </si>
  <si>
    <t>J87 R6M</t>
  </si>
  <si>
    <t>CR-2026012</t>
  </si>
  <si>
    <t>Mercier</t>
  </si>
  <si>
    <t>Ethan</t>
  </si>
  <si>
    <t>819-555-1011</t>
  </si>
  <si>
    <t>J82 S8B</t>
  </si>
  <si>
    <t>Resolved</t>
  </si>
  <si>
    <t>CR-2026013</t>
  </si>
  <si>
    <t>Fortin</t>
  </si>
  <si>
    <t>Zoé</t>
  </si>
  <si>
    <t>819-555-1012</t>
  </si>
  <si>
    <t>J86 B8H</t>
  </si>
  <si>
    <t>Emergency assistance</t>
  </si>
  <si>
    <t>Low</t>
  </si>
  <si>
    <t>CR-2026014</t>
  </si>
  <si>
    <t>Côté</t>
  </si>
  <si>
    <t>Samuel</t>
  </si>
  <si>
    <t>819-555-1013</t>
  </si>
  <si>
    <t>J86 M4L</t>
  </si>
  <si>
    <t>CR-2026015</t>
  </si>
  <si>
    <t>Girard</t>
  </si>
  <si>
    <t>Léa</t>
  </si>
  <si>
    <t>819-555-1014</t>
  </si>
  <si>
    <t>J83 L2A</t>
  </si>
  <si>
    <t>CR-2026016</t>
  </si>
  <si>
    <t>Parent</t>
  </si>
  <si>
    <t>Gabriel</t>
  </si>
  <si>
    <t>819-555-1015</t>
  </si>
  <si>
    <t>J82 T4T</t>
  </si>
  <si>
    <t>CR-2026017</t>
  </si>
  <si>
    <t>Lefebvre</t>
  </si>
  <si>
    <t>Inès</t>
  </si>
  <si>
    <t>819-555-1016</t>
  </si>
  <si>
    <t>J89 E3M</t>
  </si>
  <si>
    <t>CR-2026018</t>
  </si>
  <si>
    <t>Bergeron</t>
  </si>
  <si>
    <t>Thomas</t>
  </si>
  <si>
    <t>819-555-1017</t>
  </si>
  <si>
    <t>J86 M4P</t>
  </si>
  <si>
    <t>CR-2026019</t>
  </si>
  <si>
    <t>Simard</t>
  </si>
  <si>
    <t>Nora</t>
  </si>
  <si>
    <t>819-555-1018</t>
  </si>
  <si>
    <t>J84 Z0B</t>
  </si>
  <si>
    <t>CR-2026020</t>
  </si>
  <si>
    <t>Dumont</t>
  </si>
  <si>
    <t>William</t>
  </si>
  <si>
    <t>819-555-1019</t>
  </si>
  <si>
    <t>J81 R3B</t>
  </si>
  <si>
    <t>Citizen account access</t>
  </si>
  <si>
    <t>CR-2026021</t>
  </si>
  <si>
    <t>Desjardins</t>
  </si>
  <si>
    <t>Jade</t>
  </si>
  <si>
    <t>819-555-1020</t>
  </si>
  <si>
    <t>J86 X5Z</t>
  </si>
  <si>
    <t>CR-2026022</t>
  </si>
  <si>
    <t>Tremblay</t>
  </si>
  <si>
    <t>Alex</t>
  </si>
  <si>
    <t>819-555-1021</t>
  </si>
  <si>
    <t>J87 E1G</t>
  </si>
  <si>
    <t>CR-2026023</t>
  </si>
  <si>
    <t>Mila</t>
  </si>
  <si>
    <t>819-555-1022</t>
  </si>
  <si>
    <t>J86 X4G</t>
  </si>
  <si>
    <t>CR-2026024</t>
  </si>
  <si>
    <t>Lemieux</t>
  </si>
  <si>
    <t>Jacob</t>
  </si>
  <si>
    <t>819-555-1023</t>
  </si>
  <si>
    <t>J83 L3H</t>
  </si>
  <si>
    <t>CR-2026025</t>
  </si>
  <si>
    <t>Renaud</t>
  </si>
  <si>
    <t>Sarah</t>
  </si>
  <si>
    <t>819-555-1024</t>
  </si>
  <si>
    <t>J81 H0J</t>
  </si>
  <si>
    <t>CR-2026026</t>
  </si>
  <si>
    <t>Gagné</t>
  </si>
  <si>
    <t>Liam</t>
  </si>
  <si>
    <t>819-555-1025</t>
  </si>
  <si>
    <t>J87 R0Z</t>
  </si>
  <si>
    <t>CR-2026027</t>
  </si>
  <si>
    <t>Arsenault</t>
  </si>
  <si>
    <t>Anaïs</t>
  </si>
  <si>
    <t>819-555-1026</t>
  </si>
  <si>
    <t>J87 N6P</t>
  </si>
  <si>
    <t>CR-2026028</t>
  </si>
  <si>
    <t>Julien</t>
  </si>
  <si>
    <t>819-555-1027</t>
  </si>
  <si>
    <t>J85 Y3Z</t>
  </si>
  <si>
    <t>CR-2026029</t>
  </si>
  <si>
    <t>Bélanger</t>
  </si>
  <si>
    <t>Emma</t>
  </si>
  <si>
    <t>819-555-1028</t>
  </si>
  <si>
    <t>J88 L8A</t>
  </si>
  <si>
    <t>CR-2026030</t>
  </si>
  <si>
    <t>Nadeau</t>
  </si>
  <si>
    <t>Malik</t>
  </si>
  <si>
    <t>819-555-1029</t>
  </si>
  <si>
    <t>J81 T3H</t>
  </si>
  <si>
    <t>CR-2026031</t>
  </si>
  <si>
    <t>Lachance</t>
  </si>
  <si>
    <t>Clara</t>
  </si>
  <si>
    <t>819-555-1030</t>
  </si>
  <si>
    <t>J82 G8R</t>
  </si>
  <si>
    <t>CR-2026032</t>
  </si>
  <si>
    <t>Leblanc</t>
  </si>
  <si>
    <t>Antoine</t>
  </si>
  <si>
    <t>819-555-1031</t>
  </si>
  <si>
    <t>J82 L7C</t>
  </si>
  <si>
    <t>CR-2026033</t>
  </si>
  <si>
    <t>Nina</t>
  </si>
  <si>
    <t>819-555-1032</t>
  </si>
  <si>
    <t>J86 E8X</t>
  </si>
  <si>
    <t>CR-2026034</t>
  </si>
  <si>
    <t>Paquette</t>
  </si>
  <si>
    <t>Hugo</t>
  </si>
  <si>
    <t>819-555-1033</t>
  </si>
  <si>
    <t>J87 W2V</t>
  </si>
  <si>
    <t>CR-2026035</t>
  </si>
  <si>
    <t>Robitaille</t>
  </si>
  <si>
    <t>Mélanie</t>
  </si>
  <si>
    <t>819-555-1034</t>
  </si>
  <si>
    <t>J81 W7M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</si>
</sst>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8">
    <font>
      <sz val="11.0"/>
      <color rgb="FF000000"/>
      <name val="Carlito"/>
      <scheme val="minor"/>
    </font>
    <font>
      <b/>
      <sz val="15.0"/>
      <color rgb="FFFFFFFF"/>
      <name val="Carlito"/>
    </font>
    <font>
      <i/>
      <sz val="11.0"/>
      <color rgb="FF334455"/>
      <name val="Carlito"/>
    </font>
    <font>
      <sz val="11.0"/>
      <color rgb="FFFFFFFF"/>
      <name val="Carlito"/>
    </font>
    <font>
      <b/>
      <sz val="11.0"/>
      <color rgb="FF17365D"/>
      <name val="Carlito"/>
    </font>
    <font>
      <b/>
      <sz val="11.0"/>
      <color rgb="FFFFFFFF"/>
      <name val="Carlito"/>
    </font>
    <font>
      <sz val="11.0"/>
      <color theme="1"/>
      <name val="Carlito"/>
    </font>
    <font>
      <i/>
      <sz val="9.0"/>
      <color rgb="FF80808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Fill="1" applyFont="1"/>
    <xf borderId="0" fillId="4" fontId="3" numFmtId="0" xfId="0" applyFill="1" applyFont="1"/>
    <xf borderId="0" fillId="0" fontId="4" numFmtId="0" xfId="0" applyFont="1"/>
    <xf borderId="0" fillId="5" fontId="5" numFmtId="0" xfId="0" applyAlignment="1" applyFill="1" applyFont="1">
      <alignment horizontal="center" readingOrder="0" shrinkToFit="0" vertical="center" wrapText="0"/>
    </xf>
    <xf borderId="0" fillId="4" fontId="5" numFmtId="0" xfId="0" applyAlignment="1" applyFill="1" applyFont="1">
      <alignment horizontal="center"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164" xfId="0" applyAlignment="1" applyFont="1" applyNumberFormat="1">
      <alignment shrinkToFit="0" vertical="center" wrapText="0"/>
    </xf>
    <xf borderId="0" fillId="0" fontId="6" numFmtId="1" xfId="0" applyAlignment="1" applyFont="1" applyNumberFormat="1">
      <alignment shrinkToFit="0" vertical="center" wrapText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</dxfs>
  <tableStyles count="1">
    <tableStyle count="4" pivot="0" name="Citizen Reque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K40" displayName="CitizenRequestsTable" name="CitizenRequestsTable" id="1">
  <tableColumns count="11">
    <tableColumn name="Request ID" id="1"/>
    <tableColumn name="Last Name" id="2"/>
    <tableColumn name="First Name" id="3"/>
    <tableColumn name="Phone" id="4"/>
    <tableColumn name="Postal Code" id="5"/>
    <tableColumn name="Sector" id="6"/>
    <tableColumn name="Request Type" id="7"/>
    <tableColumn name="Priority" id="8"/>
    <tableColumn name="Status" id="9"/>
    <tableColumn name="Last Updated" id="10"/>
    <tableColumn name="QC Score" id="11"/>
  </tableColumns>
  <tableStyleInfo name="Citizen Reque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6.0"/>
    <col customWidth="1" min="3" max="3" width="15.0"/>
    <col customWidth="1" min="4" max="4" width="16.0"/>
    <col customWidth="1" min="5" max="5" width="12.0"/>
    <col customWidth="1" min="6" max="6" width="16.0"/>
    <col customWidth="1" min="7" max="7" width="24.0"/>
    <col customWidth="1" min="8" max="8" width="11.0"/>
    <col customWidth="1" min="9" max="9" width="16.0"/>
    <col customWidth="1" min="10" max="10" width="19.0"/>
    <col customWidth="1" min="11" max="11" width="10.0"/>
    <col customWidth="1" min="12" max="26" width="8.63"/>
  </cols>
  <sheetData>
    <row r="1">
      <c r="A1" s="1" t="s">
        <v>0</v>
      </c>
    </row>
    <row r="2">
      <c r="A2" s="2" t="s">
        <v>1</v>
      </c>
    </row>
    <row r="3">
      <c r="L3" s="3"/>
    </row>
    <row r="4">
      <c r="A4" s="4" t="s">
        <v>2</v>
      </c>
      <c r="L4" s="3"/>
    </row>
    <row r="5" ht="19.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6"/>
    </row>
    <row r="6" ht="19.5" customHeight="1">
      <c r="A6" s="7" t="s">
        <v>14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8" t="s">
        <v>20</v>
      </c>
      <c r="H6" s="7" t="s">
        <v>21</v>
      </c>
      <c r="I6" s="7" t="s">
        <v>22</v>
      </c>
      <c r="J6" s="9">
        <v>46290.44097222222</v>
      </c>
      <c r="K6" s="10">
        <f t="shared" ref="K6:K40" si="1">MOD(LEN(B6)+LEN(C6)+ROW(),97)</f>
        <v>18</v>
      </c>
      <c r="L6" s="3" t="str">
        <f>""</f>
        <v/>
      </c>
    </row>
    <row r="7" ht="19.5" customHeight="1">
      <c r="A7" s="7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8" t="s">
        <v>29</v>
      </c>
      <c r="H7" s="7" t="s">
        <v>21</v>
      </c>
      <c r="I7" s="7" t="s">
        <v>30</v>
      </c>
      <c r="J7" s="9">
        <v>46291.06041666667</v>
      </c>
      <c r="K7" s="10">
        <f t="shared" si="1"/>
        <v>17</v>
      </c>
      <c r="L7" s="3" t="str">
        <f>LEFT(B7,1)</f>
        <v>D</v>
      </c>
    </row>
    <row r="8" ht="19.5" customHeight="1">
      <c r="A8" s="7" t="s">
        <v>31</v>
      </c>
      <c r="B8" s="7" t="s">
        <v>32</v>
      </c>
      <c r="C8" s="7" t="s">
        <v>33</v>
      </c>
      <c r="D8" s="7" t="s">
        <v>34</v>
      </c>
      <c r="E8" s="7" t="s">
        <v>35</v>
      </c>
      <c r="F8" s="7" t="s">
        <v>36</v>
      </c>
      <c r="G8" s="8" t="s">
        <v>37</v>
      </c>
      <c r="H8" s="7" t="s">
        <v>21</v>
      </c>
      <c r="I8" s="7" t="s">
        <v>38</v>
      </c>
      <c r="J8" s="9">
        <v>46290.47430555556</v>
      </c>
      <c r="K8" s="10">
        <f t="shared" si="1"/>
        <v>20</v>
      </c>
      <c r="L8" s="3" t="str">
        <f t="shared" ref="L8:L11" si="2">""</f>
        <v/>
      </c>
    </row>
    <row r="9" ht="19.5" customHeight="1">
      <c r="A9" s="7" t="s">
        <v>39</v>
      </c>
      <c r="B9" s="7" t="s">
        <v>24</v>
      </c>
      <c r="C9" s="7" t="s">
        <v>40</v>
      </c>
      <c r="D9" s="7" t="s">
        <v>41</v>
      </c>
      <c r="E9" s="7" t="s">
        <v>42</v>
      </c>
      <c r="F9" s="7" t="s">
        <v>43</v>
      </c>
      <c r="G9" s="8" t="s">
        <v>37</v>
      </c>
      <c r="H9" s="7" t="s">
        <v>44</v>
      </c>
      <c r="I9" s="7" t="s">
        <v>45</v>
      </c>
      <c r="J9" s="9">
        <v>46290.75208333333</v>
      </c>
      <c r="K9" s="10">
        <f t="shared" si="1"/>
        <v>20</v>
      </c>
      <c r="L9" s="3" t="str">
        <f t="shared" si="2"/>
        <v/>
      </c>
    </row>
    <row r="10" ht="19.5" customHeight="1">
      <c r="A10" s="7" t="s">
        <v>46</v>
      </c>
      <c r="B10" s="7" t="s">
        <v>47</v>
      </c>
      <c r="C10" s="7" t="s">
        <v>48</v>
      </c>
      <c r="D10" s="7" t="s">
        <v>49</v>
      </c>
      <c r="E10" s="7" t="s">
        <v>50</v>
      </c>
      <c r="F10" s="7" t="s">
        <v>43</v>
      </c>
      <c r="G10" s="8" t="s">
        <v>51</v>
      </c>
      <c r="H10" s="7" t="s">
        <v>44</v>
      </c>
      <c r="I10" s="7" t="s">
        <v>38</v>
      </c>
      <c r="J10" s="9">
        <v>46290.751388888886</v>
      </c>
      <c r="K10" s="10">
        <f t="shared" si="1"/>
        <v>20</v>
      </c>
      <c r="L10" s="3" t="str">
        <f t="shared" si="2"/>
        <v/>
      </c>
    </row>
    <row r="11" ht="19.5" customHeight="1">
      <c r="A11" s="7" t="s">
        <v>52</v>
      </c>
      <c r="B11" s="7" t="s">
        <v>53</v>
      </c>
      <c r="C11" s="7" t="s">
        <v>54</v>
      </c>
      <c r="D11" s="7" t="s">
        <v>55</v>
      </c>
      <c r="E11" s="7" t="s">
        <v>56</v>
      </c>
      <c r="F11" s="7" t="s">
        <v>43</v>
      </c>
      <c r="G11" s="8" t="s">
        <v>29</v>
      </c>
      <c r="H11" s="7" t="s">
        <v>44</v>
      </c>
      <c r="I11" s="7" t="s">
        <v>57</v>
      </c>
      <c r="J11" s="9">
        <v>46290.8375</v>
      </c>
      <c r="K11" s="10">
        <f t="shared" si="1"/>
        <v>27</v>
      </c>
      <c r="L11" s="3" t="str">
        <f t="shared" si="2"/>
        <v/>
      </c>
    </row>
    <row r="12" ht="19.5" customHeight="1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62</v>
      </c>
      <c r="F12" s="7" t="s">
        <v>28</v>
      </c>
      <c r="G12" s="8" t="s">
        <v>63</v>
      </c>
      <c r="H12" s="7" t="s">
        <v>64</v>
      </c>
      <c r="I12" s="7" t="s">
        <v>30</v>
      </c>
      <c r="J12" s="9">
        <v>46290.399305555555</v>
      </c>
      <c r="K12" s="10">
        <f t="shared" si="1"/>
        <v>24</v>
      </c>
      <c r="L12" s="3" t="str">
        <f>LEFT(G12,1)</f>
        <v>I</v>
      </c>
    </row>
    <row r="13" ht="19.5" customHeight="1">
      <c r="A13" s="7" t="s">
        <v>65</v>
      </c>
      <c r="B13" s="7" t="s">
        <v>66</v>
      </c>
      <c r="C13" s="7" t="s">
        <v>67</v>
      </c>
      <c r="D13" s="7" t="s">
        <v>68</v>
      </c>
      <c r="E13" s="7" t="s">
        <v>69</v>
      </c>
      <c r="F13" s="7" t="s">
        <v>70</v>
      </c>
      <c r="G13" s="8" t="s">
        <v>71</v>
      </c>
      <c r="H13" s="7" t="s">
        <v>44</v>
      </c>
      <c r="I13" s="7" t="s">
        <v>45</v>
      </c>
      <c r="J13" s="9">
        <v>46290.720138888886</v>
      </c>
      <c r="K13" s="10">
        <f t="shared" si="1"/>
        <v>27</v>
      </c>
      <c r="L13" s="3" t="str">
        <f t="shared" ref="L13:L16" si="3">""</f>
        <v/>
      </c>
    </row>
    <row r="14" ht="19.5" customHeight="1">
      <c r="A14" s="7" t="s">
        <v>72</v>
      </c>
      <c r="B14" s="7" t="s">
        <v>73</v>
      </c>
      <c r="C14" s="7" t="s">
        <v>74</v>
      </c>
      <c r="D14" s="7" t="s">
        <v>75</v>
      </c>
      <c r="E14" s="7" t="s">
        <v>76</v>
      </c>
      <c r="F14" s="7" t="s">
        <v>70</v>
      </c>
      <c r="G14" s="8" t="s">
        <v>77</v>
      </c>
      <c r="H14" s="7" t="s">
        <v>21</v>
      </c>
      <c r="I14" s="7" t="s">
        <v>57</v>
      </c>
      <c r="J14" s="9">
        <v>46291.13680555556</v>
      </c>
      <c r="K14" s="10">
        <f t="shared" si="1"/>
        <v>24</v>
      </c>
      <c r="L14" s="3" t="str">
        <f t="shared" si="3"/>
        <v/>
      </c>
    </row>
    <row r="15" ht="19.5" customHeight="1">
      <c r="A15" s="7" t="s">
        <v>78</v>
      </c>
      <c r="B15" s="7" t="s">
        <v>79</v>
      </c>
      <c r="C15" s="7" t="s">
        <v>80</v>
      </c>
      <c r="D15" s="7" t="s">
        <v>81</v>
      </c>
      <c r="E15" s="7" t="s">
        <v>82</v>
      </c>
      <c r="F15" s="7" t="s">
        <v>36</v>
      </c>
      <c r="G15" s="8" t="s">
        <v>83</v>
      </c>
      <c r="H15" s="7" t="s">
        <v>64</v>
      </c>
      <c r="I15" s="7" t="s">
        <v>22</v>
      </c>
      <c r="J15" s="9">
        <v>46290.80486111111</v>
      </c>
      <c r="K15" s="10">
        <f t="shared" si="1"/>
        <v>27</v>
      </c>
      <c r="L15" s="3" t="str">
        <f t="shared" si="3"/>
        <v/>
      </c>
    </row>
    <row r="16" ht="19.5" customHeight="1">
      <c r="A16" s="7" t="s">
        <v>84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28</v>
      </c>
      <c r="G16" s="8" t="s">
        <v>51</v>
      </c>
      <c r="H16" s="7" t="s">
        <v>44</v>
      </c>
      <c r="I16" s="7" t="s">
        <v>30</v>
      </c>
      <c r="J16" s="9">
        <v>46291.19861111111</v>
      </c>
      <c r="K16" s="10">
        <f t="shared" si="1"/>
        <v>29</v>
      </c>
      <c r="L16" s="3" t="str">
        <f t="shared" si="3"/>
        <v/>
      </c>
    </row>
    <row r="17" ht="19.5" customHeight="1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19</v>
      </c>
      <c r="G17" s="8" t="s">
        <v>37</v>
      </c>
      <c r="H17" s="7" t="s">
        <v>21</v>
      </c>
      <c r="I17" s="7" t="s">
        <v>94</v>
      </c>
      <c r="J17" s="9">
        <v>46291.11875</v>
      </c>
      <c r="K17" s="10">
        <f t="shared" si="1"/>
        <v>29</v>
      </c>
      <c r="L17" s="3" t="str">
        <f>LEFT(F17,1)</f>
        <v>G</v>
      </c>
    </row>
    <row r="18" ht="19.5" customHeight="1">
      <c r="A18" s="7" t="s">
        <v>95</v>
      </c>
      <c r="B18" s="7" t="s">
        <v>96</v>
      </c>
      <c r="C18" s="7" t="s">
        <v>97</v>
      </c>
      <c r="D18" s="7" t="s">
        <v>98</v>
      </c>
      <c r="E18" s="7" t="s">
        <v>99</v>
      </c>
      <c r="F18" s="7" t="s">
        <v>28</v>
      </c>
      <c r="G18" s="8" t="s">
        <v>100</v>
      </c>
      <c r="H18" s="7" t="s">
        <v>101</v>
      </c>
      <c r="I18" s="7" t="s">
        <v>30</v>
      </c>
      <c r="J18" s="9">
        <v>46291.11388888889</v>
      </c>
      <c r="K18" s="10">
        <f t="shared" si="1"/>
        <v>27</v>
      </c>
      <c r="L18" s="3" t="str">
        <f t="shared" ref="L18:L21" si="4">""</f>
        <v/>
      </c>
    </row>
    <row r="19" ht="19.5" customHeight="1">
      <c r="A19" s="7" t="s">
        <v>102</v>
      </c>
      <c r="B19" s="7" t="s">
        <v>103</v>
      </c>
      <c r="C19" s="7" t="s">
        <v>104</v>
      </c>
      <c r="D19" s="7" t="s">
        <v>105</v>
      </c>
      <c r="E19" s="7" t="s">
        <v>106</v>
      </c>
      <c r="F19" s="7" t="s">
        <v>28</v>
      </c>
      <c r="G19" s="8" t="s">
        <v>20</v>
      </c>
      <c r="H19" s="7" t="s">
        <v>44</v>
      </c>
      <c r="I19" s="7" t="s">
        <v>94</v>
      </c>
      <c r="J19" s="9">
        <v>46290.63611111111</v>
      </c>
      <c r="K19" s="10">
        <f t="shared" si="1"/>
        <v>29</v>
      </c>
      <c r="L19" s="3" t="str">
        <f t="shared" si="4"/>
        <v/>
      </c>
    </row>
    <row r="20" ht="19.5" customHeight="1">
      <c r="A20" s="7" t="s">
        <v>107</v>
      </c>
      <c r="B20" s="7" t="s">
        <v>108</v>
      </c>
      <c r="C20" s="7" t="s">
        <v>109</v>
      </c>
      <c r="D20" s="7" t="s">
        <v>110</v>
      </c>
      <c r="E20" s="7" t="s">
        <v>111</v>
      </c>
      <c r="F20" s="7" t="s">
        <v>28</v>
      </c>
      <c r="G20" s="8" t="s">
        <v>71</v>
      </c>
      <c r="H20" s="7" t="s">
        <v>64</v>
      </c>
      <c r="I20" s="7" t="s">
        <v>45</v>
      </c>
      <c r="J20" s="9">
        <v>46291.15833333333</v>
      </c>
      <c r="K20" s="10">
        <f t="shared" si="1"/>
        <v>29</v>
      </c>
      <c r="L20" s="3" t="str">
        <f t="shared" si="4"/>
        <v/>
      </c>
    </row>
    <row r="21" ht="19.5" customHeight="1">
      <c r="A21" s="7" t="s">
        <v>112</v>
      </c>
      <c r="B21" s="7" t="s">
        <v>113</v>
      </c>
      <c r="C21" s="7" t="s">
        <v>114</v>
      </c>
      <c r="D21" s="7" t="s">
        <v>115</v>
      </c>
      <c r="E21" s="7" t="s">
        <v>116</v>
      </c>
      <c r="F21" s="7" t="s">
        <v>70</v>
      </c>
      <c r="G21" s="8" t="s">
        <v>100</v>
      </c>
      <c r="H21" s="7" t="s">
        <v>64</v>
      </c>
      <c r="I21" s="7" t="s">
        <v>57</v>
      </c>
      <c r="J21" s="9">
        <v>46290.92152777778</v>
      </c>
      <c r="K21" s="10">
        <f t="shared" si="1"/>
        <v>34</v>
      </c>
      <c r="L21" s="3" t="str">
        <f t="shared" si="4"/>
        <v/>
      </c>
    </row>
    <row r="22" ht="19.5" customHeight="1">
      <c r="A22" s="7" t="s">
        <v>117</v>
      </c>
      <c r="B22" s="7" t="s">
        <v>118</v>
      </c>
      <c r="C22" s="7" t="s">
        <v>119</v>
      </c>
      <c r="D22" s="7" t="s">
        <v>120</v>
      </c>
      <c r="E22" s="7" t="s">
        <v>121</v>
      </c>
      <c r="F22" s="7" t="s">
        <v>36</v>
      </c>
      <c r="G22" s="8" t="s">
        <v>83</v>
      </c>
      <c r="H22" s="7" t="s">
        <v>21</v>
      </c>
      <c r="I22" s="7" t="s">
        <v>22</v>
      </c>
      <c r="J22" s="9">
        <v>46291.11111111111</v>
      </c>
      <c r="K22" s="10">
        <f t="shared" si="1"/>
        <v>34</v>
      </c>
      <c r="L22" s="3" t="str">
        <f>LEFT(G22,1)</f>
        <v>I</v>
      </c>
    </row>
    <row r="23" ht="19.5" customHeight="1">
      <c r="A23" s="7" t="s">
        <v>122</v>
      </c>
      <c r="B23" s="7" t="s">
        <v>123</v>
      </c>
      <c r="C23" s="7" t="s">
        <v>124</v>
      </c>
      <c r="D23" s="7" t="s">
        <v>125</v>
      </c>
      <c r="E23" s="7" t="s">
        <v>126</v>
      </c>
      <c r="F23" s="7" t="s">
        <v>28</v>
      </c>
      <c r="G23" s="8" t="s">
        <v>20</v>
      </c>
      <c r="H23" s="7" t="s">
        <v>21</v>
      </c>
      <c r="I23" s="7" t="s">
        <v>38</v>
      </c>
      <c r="J23" s="9">
        <v>46291.30069444444</v>
      </c>
      <c r="K23" s="10">
        <f t="shared" si="1"/>
        <v>37</v>
      </c>
      <c r="L23" s="3" t="str">
        <f t="shared" ref="L23:L26" si="5">""</f>
        <v/>
      </c>
    </row>
    <row r="24" ht="19.5" customHeight="1">
      <c r="A24" s="7" t="s">
        <v>127</v>
      </c>
      <c r="B24" s="7" t="s">
        <v>128</v>
      </c>
      <c r="C24" s="7" t="s">
        <v>129</v>
      </c>
      <c r="D24" s="7" t="s">
        <v>130</v>
      </c>
      <c r="E24" s="7" t="s">
        <v>131</v>
      </c>
      <c r="F24" s="7" t="s">
        <v>43</v>
      </c>
      <c r="G24" s="8" t="s">
        <v>37</v>
      </c>
      <c r="H24" s="7" t="s">
        <v>21</v>
      </c>
      <c r="I24" s="7" t="s">
        <v>30</v>
      </c>
      <c r="J24" s="9">
        <v>46290.558333333334</v>
      </c>
      <c r="K24" s="10">
        <f t="shared" si="1"/>
        <v>34</v>
      </c>
      <c r="L24" s="3" t="str">
        <f t="shared" si="5"/>
        <v/>
      </c>
    </row>
    <row r="25" ht="19.5" customHeight="1">
      <c r="A25" s="7" t="s">
        <v>132</v>
      </c>
      <c r="B25" s="7" t="s">
        <v>133</v>
      </c>
      <c r="C25" s="7" t="s">
        <v>134</v>
      </c>
      <c r="D25" s="7" t="s">
        <v>135</v>
      </c>
      <c r="E25" s="7" t="s">
        <v>136</v>
      </c>
      <c r="F25" s="7" t="s">
        <v>43</v>
      </c>
      <c r="G25" s="8" t="s">
        <v>137</v>
      </c>
      <c r="H25" s="7" t="s">
        <v>21</v>
      </c>
      <c r="I25" s="7" t="s">
        <v>57</v>
      </c>
      <c r="J25" s="9">
        <v>46290.92291666667</v>
      </c>
      <c r="K25" s="10">
        <f t="shared" si="1"/>
        <v>38</v>
      </c>
      <c r="L25" s="3" t="str">
        <f t="shared" si="5"/>
        <v/>
      </c>
    </row>
    <row r="26" ht="19.5" customHeight="1">
      <c r="A26" s="7" t="s">
        <v>138</v>
      </c>
      <c r="B26" s="7" t="s">
        <v>139</v>
      </c>
      <c r="C26" s="7" t="s">
        <v>140</v>
      </c>
      <c r="D26" s="7" t="s">
        <v>141</v>
      </c>
      <c r="E26" s="7" t="s">
        <v>142</v>
      </c>
      <c r="F26" s="7" t="s">
        <v>70</v>
      </c>
      <c r="G26" s="8" t="s">
        <v>83</v>
      </c>
      <c r="H26" s="7" t="s">
        <v>44</v>
      </c>
      <c r="I26" s="7" t="s">
        <v>57</v>
      </c>
      <c r="J26" s="9">
        <v>46290.305555555555</v>
      </c>
      <c r="K26" s="10">
        <f t="shared" si="1"/>
        <v>40</v>
      </c>
      <c r="L26" s="3" t="str">
        <f t="shared" si="5"/>
        <v/>
      </c>
    </row>
    <row r="27" ht="19.5" customHeight="1">
      <c r="A27" s="7" t="s">
        <v>143</v>
      </c>
      <c r="B27" s="7" t="s">
        <v>144</v>
      </c>
      <c r="C27" s="7" t="s">
        <v>145</v>
      </c>
      <c r="D27" s="7" t="s">
        <v>146</v>
      </c>
      <c r="E27" s="7" t="s">
        <v>147</v>
      </c>
      <c r="F27" s="7" t="s">
        <v>19</v>
      </c>
      <c r="G27" s="8" t="s">
        <v>71</v>
      </c>
      <c r="H27" s="7" t="s">
        <v>21</v>
      </c>
      <c r="I27" s="7" t="s">
        <v>94</v>
      </c>
      <c r="J27" s="9">
        <v>46290.93125</v>
      </c>
      <c r="K27" s="10">
        <f t="shared" si="1"/>
        <v>39</v>
      </c>
      <c r="L27" s="3" t="str">
        <f>LEFT(B27,1)</f>
        <v>T</v>
      </c>
    </row>
    <row r="28" ht="19.5" customHeight="1">
      <c r="A28" s="7" t="s">
        <v>148</v>
      </c>
      <c r="B28" s="7" t="s">
        <v>144</v>
      </c>
      <c r="C28" s="7" t="s">
        <v>149</v>
      </c>
      <c r="D28" s="7" t="s">
        <v>150</v>
      </c>
      <c r="E28" s="7" t="s">
        <v>151</v>
      </c>
      <c r="F28" s="7" t="s">
        <v>70</v>
      </c>
      <c r="G28" s="8" t="s">
        <v>29</v>
      </c>
      <c r="H28" s="7" t="s">
        <v>21</v>
      </c>
      <c r="I28" s="7" t="s">
        <v>38</v>
      </c>
      <c r="J28" s="9">
        <v>46290.572222222225</v>
      </c>
      <c r="K28" s="10">
        <f t="shared" si="1"/>
        <v>40</v>
      </c>
      <c r="L28" s="3" t="str">
        <f t="shared" ref="L28:L31" si="6">""</f>
        <v/>
      </c>
    </row>
    <row r="29" ht="19.5" customHeight="1">
      <c r="A29" s="7" t="s">
        <v>152</v>
      </c>
      <c r="B29" s="7" t="s">
        <v>153</v>
      </c>
      <c r="C29" s="7" t="s">
        <v>154</v>
      </c>
      <c r="D29" s="7" t="s">
        <v>155</v>
      </c>
      <c r="E29" s="7" t="s">
        <v>156</v>
      </c>
      <c r="F29" s="7" t="s">
        <v>70</v>
      </c>
      <c r="G29" s="8" t="s">
        <v>20</v>
      </c>
      <c r="H29" s="7" t="s">
        <v>21</v>
      </c>
      <c r="I29" s="7" t="s">
        <v>94</v>
      </c>
      <c r="J29" s="9">
        <v>46290.646527777775</v>
      </c>
      <c r="K29" s="10">
        <f t="shared" si="1"/>
        <v>41</v>
      </c>
      <c r="L29" s="3" t="str">
        <f t="shared" si="6"/>
        <v/>
      </c>
    </row>
    <row r="30" ht="19.5" customHeight="1">
      <c r="A30" s="7" t="s">
        <v>157</v>
      </c>
      <c r="B30" s="7" t="s">
        <v>158</v>
      </c>
      <c r="C30" s="7" t="s">
        <v>159</v>
      </c>
      <c r="D30" s="7" t="s">
        <v>160</v>
      </c>
      <c r="E30" s="7" t="s">
        <v>161</v>
      </c>
      <c r="F30" s="7" t="s">
        <v>36</v>
      </c>
      <c r="G30" s="8" t="s">
        <v>29</v>
      </c>
      <c r="H30" s="7" t="s">
        <v>21</v>
      </c>
      <c r="I30" s="7" t="s">
        <v>94</v>
      </c>
      <c r="J30" s="9">
        <v>46290.8125</v>
      </c>
      <c r="K30" s="10">
        <f t="shared" si="1"/>
        <v>41</v>
      </c>
      <c r="L30" s="3" t="str">
        <f t="shared" si="6"/>
        <v/>
      </c>
    </row>
    <row r="31" ht="19.5" customHeight="1">
      <c r="A31" s="7" t="s">
        <v>162</v>
      </c>
      <c r="B31" s="7" t="s">
        <v>163</v>
      </c>
      <c r="C31" s="7" t="s">
        <v>164</v>
      </c>
      <c r="D31" s="7" t="s">
        <v>165</v>
      </c>
      <c r="E31" s="7" t="s">
        <v>166</v>
      </c>
      <c r="F31" s="7" t="s">
        <v>19</v>
      </c>
      <c r="G31" s="8" t="s">
        <v>71</v>
      </c>
      <c r="H31" s="7" t="s">
        <v>101</v>
      </c>
      <c r="I31" s="7" t="s">
        <v>38</v>
      </c>
      <c r="J31" s="9">
        <v>46290.45972222222</v>
      </c>
      <c r="K31" s="10">
        <f t="shared" si="1"/>
        <v>40</v>
      </c>
      <c r="L31" s="3" t="str">
        <f t="shared" si="6"/>
        <v/>
      </c>
    </row>
    <row r="32" ht="19.5" customHeight="1">
      <c r="A32" s="7" t="s">
        <v>167</v>
      </c>
      <c r="B32" s="7" t="s">
        <v>168</v>
      </c>
      <c r="C32" s="7" t="s">
        <v>169</v>
      </c>
      <c r="D32" s="7" t="s">
        <v>170</v>
      </c>
      <c r="E32" s="7" t="s">
        <v>171</v>
      </c>
      <c r="F32" s="7" t="s">
        <v>28</v>
      </c>
      <c r="G32" s="8" t="s">
        <v>29</v>
      </c>
      <c r="H32" s="7" t="s">
        <v>44</v>
      </c>
      <c r="I32" s="7" t="s">
        <v>94</v>
      </c>
      <c r="J32" s="9">
        <v>46290.885416666664</v>
      </c>
      <c r="K32" s="10">
        <f t="shared" si="1"/>
        <v>46</v>
      </c>
      <c r="L32" s="3" t="str">
        <f>LEFT(B32,1)</f>
        <v>A</v>
      </c>
    </row>
    <row r="33" ht="19.5" customHeight="1">
      <c r="A33" s="7" t="s">
        <v>172</v>
      </c>
      <c r="B33" s="7" t="s">
        <v>168</v>
      </c>
      <c r="C33" s="7" t="s">
        <v>173</v>
      </c>
      <c r="D33" s="7" t="s">
        <v>174</v>
      </c>
      <c r="E33" s="7" t="s">
        <v>175</v>
      </c>
      <c r="F33" s="7" t="s">
        <v>43</v>
      </c>
      <c r="G33" s="8" t="s">
        <v>77</v>
      </c>
      <c r="H33" s="7" t="s">
        <v>21</v>
      </c>
      <c r="I33" s="7" t="s">
        <v>22</v>
      </c>
      <c r="J33" s="9">
        <v>46290.4875</v>
      </c>
      <c r="K33" s="10">
        <f t="shared" si="1"/>
        <v>48</v>
      </c>
      <c r="L33" s="3" t="str">
        <f t="shared" ref="L33:L36" si="7">""</f>
        <v/>
      </c>
    </row>
    <row r="34" ht="19.5" customHeight="1">
      <c r="A34" s="7" t="s">
        <v>176</v>
      </c>
      <c r="B34" s="7" t="s">
        <v>177</v>
      </c>
      <c r="C34" s="7" t="s">
        <v>178</v>
      </c>
      <c r="D34" s="7" t="s">
        <v>179</v>
      </c>
      <c r="E34" s="7" t="s">
        <v>180</v>
      </c>
      <c r="F34" s="7" t="s">
        <v>19</v>
      </c>
      <c r="G34" s="8" t="s">
        <v>137</v>
      </c>
      <c r="H34" s="7" t="s">
        <v>21</v>
      </c>
      <c r="I34" s="7" t="s">
        <v>38</v>
      </c>
      <c r="J34" s="9">
        <v>46291.177777777775</v>
      </c>
      <c r="K34" s="10">
        <f t="shared" si="1"/>
        <v>46</v>
      </c>
      <c r="L34" s="3" t="str">
        <f t="shared" si="7"/>
        <v/>
      </c>
    </row>
    <row r="35" ht="19.5" customHeight="1">
      <c r="A35" s="7" t="s">
        <v>181</v>
      </c>
      <c r="B35" s="7" t="s">
        <v>182</v>
      </c>
      <c r="C35" s="7" t="s">
        <v>183</v>
      </c>
      <c r="D35" s="7" t="s">
        <v>184</v>
      </c>
      <c r="E35" s="7" t="s">
        <v>185</v>
      </c>
      <c r="F35" s="7" t="s">
        <v>28</v>
      </c>
      <c r="G35" s="8" t="s">
        <v>77</v>
      </c>
      <c r="H35" s="7" t="s">
        <v>44</v>
      </c>
      <c r="I35" s="7" t="s">
        <v>38</v>
      </c>
      <c r="J35" s="9">
        <v>46291.09444444445</v>
      </c>
      <c r="K35" s="10">
        <f t="shared" si="1"/>
        <v>46</v>
      </c>
      <c r="L35" s="3" t="str">
        <f t="shared" si="7"/>
        <v/>
      </c>
    </row>
    <row r="36" ht="19.5" customHeight="1">
      <c r="A36" s="7" t="s">
        <v>186</v>
      </c>
      <c r="B36" s="7" t="s">
        <v>187</v>
      </c>
      <c r="C36" s="7" t="s">
        <v>188</v>
      </c>
      <c r="D36" s="7" t="s">
        <v>189</v>
      </c>
      <c r="E36" s="7" t="s">
        <v>190</v>
      </c>
      <c r="F36" s="7" t="s">
        <v>28</v>
      </c>
      <c r="G36" s="8" t="s">
        <v>20</v>
      </c>
      <c r="H36" s="7" t="s">
        <v>21</v>
      </c>
      <c r="I36" s="7" t="s">
        <v>38</v>
      </c>
      <c r="J36" s="9">
        <v>46290.59097222222</v>
      </c>
      <c r="K36" s="10">
        <f t="shared" si="1"/>
        <v>49</v>
      </c>
      <c r="L36" s="3" t="str">
        <f t="shared" si="7"/>
        <v/>
      </c>
    </row>
    <row r="37" ht="19.5" customHeight="1">
      <c r="A37" s="7" t="s">
        <v>191</v>
      </c>
      <c r="B37" s="7" t="s">
        <v>192</v>
      </c>
      <c r="C37" s="7" t="s">
        <v>193</v>
      </c>
      <c r="D37" s="7" t="s">
        <v>194</v>
      </c>
      <c r="E37" s="7" t="s">
        <v>195</v>
      </c>
      <c r="F37" s="7" t="s">
        <v>43</v>
      </c>
      <c r="G37" s="8" t="s">
        <v>37</v>
      </c>
      <c r="H37" s="7" t="s">
        <v>21</v>
      </c>
      <c r="I37" s="7" t="s">
        <v>94</v>
      </c>
      <c r="J37" s="9">
        <v>46290.8125</v>
      </c>
      <c r="K37" s="10">
        <f t="shared" si="1"/>
        <v>51</v>
      </c>
      <c r="L37" s="3" t="str">
        <f>LEFT(B37,1)</f>
        <v>L</v>
      </c>
    </row>
    <row r="38" ht="19.5" customHeight="1">
      <c r="A38" s="7" t="s">
        <v>196</v>
      </c>
      <c r="B38" s="7" t="s">
        <v>192</v>
      </c>
      <c r="C38" s="7" t="s">
        <v>197</v>
      </c>
      <c r="D38" s="7" t="s">
        <v>198</v>
      </c>
      <c r="E38" s="7" t="s">
        <v>199</v>
      </c>
      <c r="F38" s="7" t="s">
        <v>28</v>
      </c>
      <c r="G38" s="8" t="s">
        <v>71</v>
      </c>
      <c r="H38" s="7" t="s">
        <v>44</v>
      </c>
      <c r="I38" s="7" t="s">
        <v>22</v>
      </c>
      <c r="J38" s="9">
        <v>46291.254166666666</v>
      </c>
      <c r="K38" s="10">
        <f t="shared" si="1"/>
        <v>49</v>
      </c>
      <c r="L38" s="3" t="str">
        <f t="shared" ref="L38:L40" si="8">""</f>
        <v/>
      </c>
    </row>
    <row r="39" ht="19.5" customHeight="1">
      <c r="A39" s="7" t="s">
        <v>200</v>
      </c>
      <c r="B39" s="7" t="s">
        <v>201</v>
      </c>
      <c r="C39" s="7" t="s">
        <v>202</v>
      </c>
      <c r="D39" s="7" t="s">
        <v>203</v>
      </c>
      <c r="E39" s="7" t="s">
        <v>204</v>
      </c>
      <c r="F39" s="7" t="s">
        <v>70</v>
      </c>
      <c r="G39" s="8" t="s">
        <v>63</v>
      </c>
      <c r="H39" s="7" t="s">
        <v>21</v>
      </c>
      <c r="I39" s="7" t="s">
        <v>30</v>
      </c>
      <c r="J39" s="9">
        <v>46291.00347222222</v>
      </c>
      <c r="K39" s="10">
        <f t="shared" si="1"/>
        <v>51</v>
      </c>
      <c r="L39" s="3" t="str">
        <f t="shared" si="8"/>
        <v/>
      </c>
    </row>
    <row r="40" ht="19.5" customHeight="1">
      <c r="A40" s="7" t="s">
        <v>205</v>
      </c>
      <c r="B40" s="7" t="s">
        <v>206</v>
      </c>
      <c r="C40" s="7" t="s">
        <v>207</v>
      </c>
      <c r="D40" s="7" t="s">
        <v>208</v>
      </c>
      <c r="E40" s="7" t="s">
        <v>209</v>
      </c>
      <c r="F40" s="7" t="s">
        <v>36</v>
      </c>
      <c r="G40" s="8" t="s">
        <v>100</v>
      </c>
      <c r="H40" s="7" t="s">
        <v>64</v>
      </c>
      <c r="I40" s="7" t="s">
        <v>94</v>
      </c>
      <c r="J40" s="9">
        <v>46291.20972222222</v>
      </c>
      <c r="K40" s="10">
        <f t="shared" si="1"/>
        <v>57</v>
      </c>
      <c r="L40" s="3" t="str">
        <f t="shared" si="8"/>
        <v/>
      </c>
    </row>
    <row r="41" ht="15.75" customHeight="1">
      <c r="L41" s="3"/>
    </row>
    <row r="42" ht="15.75" customHeight="1">
      <c r="L42" s="3" t="str">
        <f>L7&amp;L12&amp;L17&amp;L22&amp;L27&amp;L32&amp;L37</f>
        <v>DIGITAL</v>
      </c>
    </row>
    <row r="43" ht="15.75" customHeight="1">
      <c r="A43" s="1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43:K43"/>
  </mergeCells>
  <conditionalFormatting sqref="H6:H40">
    <cfRule type="expression" dxfId="5" priority="1">
      <formula>H6="Critical"</formula>
    </cfRule>
  </conditionalFormatting>
  <conditionalFormatting sqref="I6:I40">
    <cfRule type="expression" dxfId="6" priority="2">
      <formula>I6="Escalated"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